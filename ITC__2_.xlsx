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trichyravis/Library/Mobile Documents/com~apple~CloudDocs/01. Ravis Academics/07. My Lectures Subject Wise/300. Articles in LinkedIN/69. ITC Case Study/"/>
    </mc:Choice>
  </mc:AlternateContent>
  <xr:revisionPtr revIDLastSave="0" documentId="8_{D615E8EC-8D37-CD48-9E81-2C6BF1D4CA15}" xr6:coauthVersionLast="47" xr6:coauthVersionMax="47" xr10:uidLastSave="{00000000-0000-0000-0000-000000000000}"/>
  <bookViews>
    <workbookView xWindow="6780" yWindow="3800" windowWidth="26440" windowHeight="15440" xr2:uid="{2124AF43-9D59-BA45-99D7-C740D08E40F5}"/>
  </bookViews>
  <sheets>
    <sheet name="Data Sheet" sheetId="1" r:id="rId1"/>
  </sheets>
  <definedNames>
    <definedName name="UPDATE">'Data Sheet'!$E$1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75" i="1" l="1"/>
  <c r="J75" i="1"/>
  <c r="I75" i="1"/>
  <c r="H75" i="1"/>
  <c r="G75" i="1"/>
  <c r="F75" i="1"/>
  <c r="E75" i="1"/>
  <c r="D75" i="1"/>
  <c r="C75" i="1"/>
  <c r="C77" i="1" s="1"/>
  <c r="B6" i="1"/>
  <c r="E1" i="1"/>
</calcChain>
</file>

<file path=xl/sharedStrings.xml><?xml version="1.0" encoding="utf-8"?>
<sst xmlns="http://schemas.openxmlformats.org/spreadsheetml/2006/main" count="65" uniqueCount="54">
  <si>
    <t>COMPANY NAME</t>
  </si>
  <si>
    <t>ITC LTD</t>
  </si>
  <si>
    <t>LATEST VERSION</t>
  </si>
  <si>
    <t>PLEASE DO NOT MAKE ANY CHANGES TO THIS SHEET</t>
  </si>
  <si>
    <t>CURRENT VERSION</t>
  </si>
  <si>
    <t>META</t>
  </si>
  <si>
    <t>Number of shares</t>
  </si>
  <si>
    <t>Face Value</t>
  </si>
  <si>
    <t>Current Price</t>
  </si>
  <si>
    <t>Market Capitalization</t>
  </si>
  <si>
    <t>PROFIT &amp; LOSS</t>
  </si>
  <si>
    <t>Report Date</t>
  </si>
  <si>
    <t>Sales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</si>
  <si>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</si>
  <si>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</si>
  <si>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</si>
  <si>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</si>
  <si>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</si>
  <si>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</si>
  <si>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</si>
  <si>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Other Income</t>
  </si>
  <si>
    <t>Depreciation</t>
  </si>
  <si>
    <t>Interest</t>
  </si>
  <si>
    <t>Profit before tax</t>
  </si>
  <si>
    <t>Tax</t>
  </si>
  <si>
    <t>Net profit</t>
  </si>
  <si>
    <t>Dividend Amount</t>
  </si>
  <si>
    <t>Quarters</t>
  </si>
  <si>
    <t>Expenses</t>
  </si>
  <si>
    <t>Operating Profit</t>
  </si>
  <si>
    <t>BALANCE SHEET</t>
  </si>
  <si>
    <t>Equity Share Capital</t>
  </si>
  <si>
    <t>Reserves</t>
  </si>
  <si>
    <t>Borrowings</t>
  </si>
  <si>
    <t>Other Liabilities</t>
  </si>
  <si>
    <t>Total</t>
  </si>
  <si>
    <t>Net Block</t>
  </si>
  <si>
    <t>Capital Work in Progress</t>
  </si>
  <si>
    <t>Investments</t>
  </si>
  <si>
    <t>Other Assets</t>
  </si>
  <si>
    <t>Receivables</t>
  </si>
  <si>
    <t>Inventory</t>
  </si>
  <si>
    <t>Cash &amp; Bank</t>
  </si>
  <si>
    <t>No. of Equity Shares</t>
  </si>
  <si>
    <t>New Bonus Shares</t>
  </si>
  <si>
    <t>Face value</t>
  </si>
  <si>
    <t>CASH FLOW:</t>
  </si>
  <si>
    <t>Cash from Operating Activity</t>
  </si>
  <si>
    <t>Cash from Investing Activity</t>
  </si>
  <si>
    <t>Cash from Financing Activity</t>
  </si>
  <si>
    <t>Net Cash Flow</t>
  </si>
  <si>
    <t>PRICE:</t>
  </si>
  <si>
    <t>DERIVED:</t>
  </si>
  <si>
    <t>Adjusted Equity Shares in Cr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</si>
</sst>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7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4" fillId="2" borderId="0" applyNumberFormat="0" applyBorder="0" applyAlignment="0" applyProtection="0"/>
    <xf numFmtId="0" fontId="1" fillId="0" borderId="0"/>
  </cellStyleXfs>
  <cellXfs count="11">
    <xf numFmtId="0" fontId="0" fillId="0" borderId="0" xfId="0"/>
    <xf numFmtId="164" fontId="2" fillId="0" borderId="0" xfId="1" applyFont="1" applyBorder="1"/>
    <xf numFmtId="164" fontId="0" fillId="0" borderId="0" xfId="1" applyFont="1" applyBorder="1"/>
    <xf numFmtId="0" fontId="1" fillId="0" borderId="0" xfId="4"/>
    <xf numFmtId="165" fontId="5" fillId="3" borderId="0" xfId="1" applyNumberFormat="1" applyFont="1" applyFill="1" applyBorder="1"/>
    <xf numFmtId="165" fontId="5" fillId="3" borderId="0" xfId="4" applyNumberFormat="1" applyFont="1" applyFill="1" applyAlignment="1">
      <alignment horizontal="center"/>
    </xf>
    <xf numFmtId="165" fontId="6" fillId="0" borderId="0" xfId="1" applyNumberFormat="1" applyFont="1" applyFill="1" applyBorder="1"/>
    <xf numFmtId="164" fontId="1" fillId="0" borderId="0" xfId="1" applyFont="1" applyBorder="1"/>
    <xf numFmtId="43" fontId="0" fillId="0" borderId="0" xfId="1" applyNumberFormat="1" applyFont="1" applyBorder="1"/>
    <xf numFmtId="164" fontId="3" fillId="0" borderId="0" xfId="2" applyNumberFormat="1" applyBorder="1" applyAlignment="1" applyProtection="1">
      <alignment horizontal="center"/>
    </xf>
    <xf numFmtId="164" fontId="5" fillId="2" borderId="0" xfId="3" applyNumberFormat="1" applyFont="1" applyBorder="1" applyAlignment="1">
      <alignment horizontal="center"/>
    </xf>
  </cellXfs>
  <cellStyles count="5">
    <cellStyle name="Accent6 2" xfId="3" xr:uid="{5EE235DE-1B0F-EA46-BAC8-8951976907DC}"/>
    <cellStyle name="Comma 2" xfId="1" xr:uid="{7FA4E238-DB8D-E84C-9F9F-2EA519363059}"/>
    <cellStyle name="Hyperlink 2" xfId="2" xr:uid="{D7BB9E17-78D2-0740-9BF4-6EBA58E75C06}"/>
    <cellStyle name="Normal" xfId="0" builtinId="0"/>
    <cellStyle name="Normal 2" xfId="4" xr:uid="{1B490273-8FC9-7B46-B68D-DDF4AD84A1D1}"/>
  </cellStyles>
  <dxfs count="1">
    <dxf>
      <font>
        <b/>
        <i val="0"/>
        <color theme="0"/>
      </font>
      <fill>
        <patternFill>
          <bgColor theme="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E49B9-19D1-8D4F-83BE-E13820014505}">
  <dimension ref="A1:K93"/>
  <sheetViews>
    <sheetView tabSelected="1" zoomScale="120" zoomScaleNormal="120" zoomScalePageLayoutView="120" workbookViewId="0">
      <pane xSplit="1" ySplit="1" topLeftCell="B2" activePane="bottomRight" state="frozen"/>
      <selection activeCell="E25" sqref="E25"/>
      <selection pane="topRight" activeCell="E25" sqref="E25"/>
      <selection pane="bottomLeft" activeCell="E25" sqref="E25"/>
      <selection pane="bottomRight" activeCell="D7" sqref="D7"/>
    </sheetView>
  </sheetViews>
  <sheetFormatPr baseColWidth="10" defaultColWidth="8.83203125" defaultRowHeight="16" x14ac:dyDescent="0.2"/>
  <cols>
    <col min="1" max="1" width="27.6640625" style="2" bestFit="1" customWidth="1"/>
    <col min="2" max="11" width="13.5" style="2" bestFit="1" customWidth="1"/>
    <col min="12" max="16384" width="8.83203125" style="2"/>
  </cols>
  <sheetData>
    <row r="1" spans="1:11" s="1" customFormat="1" ht="15" x14ac:dyDescent="0.2">
      <c r="A1" s="1" t="s">
        <v>0</v>
      </c>
      <c r="B1" s="1" t="s">
        <v>1</v>
      </c>
      <c r="E1" s="9" t="str">
        <f>IF(B2&lt;&gt;B3, "A NEW VERSION OF THE WORKSHEET IS AVAILABLE", "")</f>
        <v/>
      </c>
      <c r="F1" s="9"/>
      <c r="G1" s="9"/>
      <c r="H1" s="9"/>
      <c r="I1" s="9"/>
      <c r="J1" s="9"/>
      <c r="K1" s="9"/>
    </row>
    <row r="2" spans="1:11" x14ac:dyDescent="0.2">
      <c r="A2" s="1" t="s">
        <v>2</v>
      </c>
      <c r="B2" s="2">
        <v>2.1</v>
      </c>
      <c r="E2" s="10" t="s">
        <v>3</v>
      </c>
      <c r="F2" s="10"/>
      <c r="G2" s="10"/>
      <c r="H2" s="10"/>
      <c r="I2" s="10"/>
      <c r="J2" s="10"/>
      <c r="K2" s="10"/>
    </row>
    <row r="3" spans="1:11" x14ac:dyDescent="0.2">
      <c r="A3" s="1" t="s">
        <v>4</v>
      </c>
      <c r="B3" s="2">
        <v>2.1</v>
      </c>
    </row>
    <row r="4" spans="1:11" x14ac:dyDescent="0.2">
      <c r="A4" s="1"/>
    </row>
    <row r="5" spans="1:11" x14ac:dyDescent="0.2">
      <c r="A5" s="1" t="s">
        <v>5</v>
      </c>
    </row>
    <row r="6" spans="1:11" x14ac:dyDescent="0.2">
      <c r="A6" s="2" t="s">
        <v>6</v>
      </c>
      <c r="B6" s="2">
        <f>IF(B9&gt;0, B9/B8, 0)</f>
        <v>1252.8959862876732</v>
      </c>
    </row>
    <row r="7" spans="1:11" x14ac:dyDescent="0.2">
      <c r="A7" s="2" t="s">
        <v>7</v>
      </c>
      <c r="B7" s="3">
        <v>1</v>
      </c>
    </row>
    <row r="8" spans="1:11" x14ac:dyDescent="0.2">
      <c r="A8" s="2" t="s">
        <v>8</v>
      </c>
      <c r="B8" s="3">
        <v>350.05</v>
      </c>
    </row>
    <row r="9" spans="1:11" x14ac:dyDescent="0.2">
      <c r="A9" s="2" t="s">
        <v>9</v>
      </c>
      <c r="B9" s="3">
        <v>438576.24</v>
      </c>
    </row>
    <row r="15" spans="1:11" x14ac:dyDescent="0.2">
      <c r="A15" s="1" t="s">
        <v>10</v>
      </c>
    </row>
    <row r="16" spans="1:11" s="6" customFormat="1" ht="15" x14ac:dyDescent="0.2">
      <c r="A16" s="4" t="s">
        <v>11</v>
      </c>
      <c r="B16" s="5">
        <v>42460</v>
      </c>
      <c r="C16" s="5">
        <v>42825</v>
      </c>
      <c r="D16" s="5">
        <v>43190</v>
      </c>
      <c r="E16" s="5">
        <v>43555</v>
      </c>
      <c r="F16" s="5">
        <v>43921</v>
      </c>
      <c r="G16" s="5">
        <v>44286</v>
      </c>
      <c r="H16" s="5">
        <v>44651</v>
      </c>
      <c r="I16" s="5">
        <v>45016</v>
      </c>
      <c r="J16" s="5">
        <v>45382</v>
      </c>
      <c r="K16" s="5">
        <v>45747</v>
      </c>
    </row>
    <row r="17" spans="1:11" s="7" customFormat="1" ht="15" x14ac:dyDescent="0.2">
      <c r="A17" s="7" t="s">
        <v>12</v>
      </c>
      <c r="B17" s="3">
        <v>39192.1</v>
      </c>
      <c r="C17" s="3">
        <v>42767.6</v>
      </c>
      <c r="D17" s="3">
        <v>43448.94</v>
      </c>
      <c r="E17" s="3">
        <v>48339.58</v>
      </c>
      <c r="F17" s="3">
        <v>49387.7</v>
      </c>
      <c r="G17" s="3">
        <v>49257.45</v>
      </c>
      <c r="H17" s="3">
        <v>60644.54</v>
      </c>
      <c r="I17" s="3">
        <v>70919.03</v>
      </c>
      <c r="J17" s="3">
        <v>67931.94</v>
      </c>
      <c r="K17" s="3">
        <v>75323.34</v>
      </c>
    </row>
    <row r="18" spans="1:11" s="7" customFormat="1" x14ac:dyDescent="0.2">
      <c r="A18" s="2" t="s">
        <v>13</v>
      </c>
      <c r="B18" s="3">
        <v>13763.88</v>
      </c>
      <c r="C18" s="3">
        <v>15456.59</v>
      </c>
      <c r="D18" s="3">
        <v>14827.72</v>
      </c>
      <c r="E18" s="3">
        <v>17623.52</v>
      </c>
      <c r="F18" s="3">
        <v>18048.599999999999</v>
      </c>
      <c r="G18" s="3">
        <v>20776.71</v>
      </c>
      <c r="H18" s="3">
        <v>27071.07</v>
      </c>
      <c r="I18" s="3">
        <v>29364.36</v>
      </c>
      <c r="J18" s="3">
        <v>27348.57</v>
      </c>
      <c r="K18" s="3">
        <v>32704.37</v>
      </c>
    </row>
    <row r="19" spans="1:11" s="7" customFormat="1" x14ac:dyDescent="0.2">
      <c r="A19" s="2" t="s">
        <v>14</v>
      </c>
      <c r="B19" s="3">
        <v>195.38</v>
      </c>
      <c r="C19" s="3">
        <v>-592.57000000000005</v>
      </c>
      <c r="D19" s="3">
        <v>-1027.76</v>
      </c>
      <c r="E19" s="3">
        <v>203.19</v>
      </c>
      <c r="F19" s="3">
        <v>703.13</v>
      </c>
      <c r="G19" s="3">
        <v>645.27</v>
      </c>
      <c r="H19" s="3">
        <v>686</v>
      </c>
      <c r="I19" s="3">
        <v>358.59</v>
      </c>
      <c r="J19" s="3">
        <v>367.77</v>
      </c>
      <c r="K19" s="3">
        <v>725.65</v>
      </c>
    </row>
    <row r="20" spans="1:11" s="7" customFormat="1" x14ac:dyDescent="0.2">
      <c r="A20" s="2" t="s">
        <v>15</v>
      </c>
      <c r="B20" s="3">
        <v>571.88</v>
      </c>
      <c r="C20" s="3">
        <v>584.33000000000004</v>
      </c>
      <c r="D20" s="3">
        <v>653.5</v>
      </c>
      <c r="E20" s="3">
        <v>746.73</v>
      </c>
      <c r="F20" s="3">
        <v>780.85</v>
      </c>
      <c r="G20" s="3">
        <v>699.56</v>
      </c>
      <c r="H20" s="3">
        <v>889.77</v>
      </c>
      <c r="I20" s="3">
        <v>1232.3399999999999</v>
      </c>
      <c r="J20" s="3">
        <v>952.9</v>
      </c>
      <c r="K20" s="3">
        <v>975.35</v>
      </c>
    </row>
    <row r="21" spans="1:11" s="7" customFormat="1" x14ac:dyDescent="0.2">
      <c r="A21" s="2" t="s">
        <v>16</v>
      </c>
      <c r="B21" s="3">
        <v>1581.59</v>
      </c>
      <c r="C21" s="3">
        <v>1683.9</v>
      </c>
      <c r="D21" s="3">
        <v>1697.62</v>
      </c>
      <c r="E21" s="3">
        <v>1871.01</v>
      </c>
      <c r="F21" s="3">
        <v>1908.29</v>
      </c>
      <c r="G21" s="3">
        <v>1587.18</v>
      </c>
      <c r="H21" s="3">
        <v>1887.67</v>
      </c>
      <c r="I21" s="3">
        <v>2327.8000000000002</v>
      </c>
      <c r="J21" s="3">
        <v>2183.7600000000002</v>
      </c>
      <c r="K21" s="3">
        <v>2345.36</v>
      </c>
    </row>
    <row r="22" spans="1:11" s="7" customFormat="1" x14ac:dyDescent="0.2">
      <c r="A22" s="2" t="s">
        <v>17</v>
      </c>
      <c r="B22" s="3">
        <v>3440.97</v>
      </c>
      <c r="C22" s="3">
        <v>3631.73</v>
      </c>
      <c r="D22" s="3">
        <v>3760.9</v>
      </c>
      <c r="E22" s="3">
        <v>4177.88</v>
      </c>
      <c r="F22" s="3">
        <v>4295.79</v>
      </c>
      <c r="G22" s="3">
        <v>4463.33</v>
      </c>
      <c r="H22" s="3">
        <v>4890.55</v>
      </c>
      <c r="I22" s="3">
        <v>5736.22</v>
      </c>
      <c r="J22" s="3">
        <v>5548.53</v>
      </c>
      <c r="K22" s="3">
        <v>6169.78</v>
      </c>
    </row>
    <row r="23" spans="1:11" s="7" customFormat="1" x14ac:dyDescent="0.2">
      <c r="A23" s="2" t="s">
        <v>18</v>
      </c>
      <c r="B23" s="3">
        <v>4261.78</v>
      </c>
      <c r="C23" s="3">
        <v>4179.74</v>
      </c>
      <c r="D23" s="3">
        <v>3954.87</v>
      </c>
      <c r="E23" s="3">
        <v>4546.3900000000003</v>
      </c>
      <c r="F23" s="3">
        <v>4488.63</v>
      </c>
      <c r="G23" s="3">
        <v>4236.7700000000004</v>
      </c>
      <c r="H23" s="3">
        <v>4858.38</v>
      </c>
      <c r="I23" s="3">
        <v>5604.08</v>
      </c>
      <c r="J23" s="3">
        <v>5312.45</v>
      </c>
      <c r="K23" s="3">
        <v>5793.29</v>
      </c>
    </row>
    <row r="24" spans="1:11" s="7" customFormat="1" x14ac:dyDescent="0.2">
      <c r="A24" s="2" t="s">
        <v>19</v>
      </c>
      <c r="B24" s="3">
        <v>1235.8900000000001</v>
      </c>
      <c r="C24" s="3">
        <v>1169.23</v>
      </c>
      <c r="D24" s="3">
        <v>1005.98</v>
      </c>
      <c r="E24" s="3">
        <v>1039.8499999999999</v>
      </c>
      <c r="F24" s="3">
        <v>1225.1300000000001</v>
      </c>
      <c r="G24" s="3">
        <v>1074.3900000000001</v>
      </c>
      <c r="H24" s="3">
        <v>1109.95</v>
      </c>
      <c r="I24" s="3">
        <v>1308.56</v>
      </c>
      <c r="J24" s="3">
        <v>1765.97</v>
      </c>
      <c r="K24" s="3">
        <v>2221.39</v>
      </c>
    </row>
    <row r="25" spans="1:11" s="7" customFormat="1" ht="15" x14ac:dyDescent="0.2">
      <c r="A25" s="7" t="s">
        <v>20</v>
      </c>
      <c r="B25" s="3">
        <v>1483.11</v>
      </c>
      <c r="C25" s="3">
        <v>1758.63</v>
      </c>
      <c r="D25" s="3">
        <v>2239.81</v>
      </c>
      <c r="E25" s="3">
        <v>2080.44</v>
      </c>
      <c r="F25" s="3">
        <v>2417.3200000000002</v>
      </c>
      <c r="G25" s="3">
        <v>2576.9499999999998</v>
      </c>
      <c r="H25" s="3">
        <v>1909.72</v>
      </c>
      <c r="I25" s="3">
        <v>2097.64</v>
      </c>
      <c r="J25" s="3">
        <v>3330.45</v>
      </c>
      <c r="K25" s="3">
        <v>17794.88</v>
      </c>
    </row>
    <row r="26" spans="1:11" s="7" customFormat="1" ht="15" x14ac:dyDescent="0.2">
      <c r="A26" s="7" t="s">
        <v>21</v>
      </c>
      <c r="B26" s="3">
        <v>1077.4000000000001</v>
      </c>
      <c r="C26" s="3">
        <v>1152.79</v>
      </c>
      <c r="D26" s="3">
        <v>1236.28</v>
      </c>
      <c r="E26" s="3">
        <v>1396.61</v>
      </c>
      <c r="F26" s="3">
        <v>1644.91</v>
      </c>
      <c r="G26" s="3">
        <v>1645.59</v>
      </c>
      <c r="H26" s="3">
        <v>1732.41</v>
      </c>
      <c r="I26" s="3">
        <v>1809.01</v>
      </c>
      <c r="J26" s="3">
        <v>1518.05</v>
      </c>
      <c r="K26" s="3">
        <v>1646.32</v>
      </c>
    </row>
    <row r="27" spans="1:11" s="7" customFormat="1" ht="15" x14ac:dyDescent="0.2">
      <c r="A27" s="7" t="s">
        <v>22</v>
      </c>
      <c r="B27" s="3">
        <v>78.13</v>
      </c>
      <c r="C27" s="3">
        <v>49.03</v>
      </c>
      <c r="D27" s="3">
        <v>115.01</v>
      </c>
      <c r="E27" s="3">
        <v>71.400000000000006</v>
      </c>
      <c r="F27" s="3">
        <v>81.38</v>
      </c>
      <c r="G27" s="3">
        <v>57.97</v>
      </c>
      <c r="H27" s="3">
        <v>59.99</v>
      </c>
      <c r="I27" s="3">
        <v>77.77</v>
      </c>
      <c r="J27" s="3">
        <v>39.11</v>
      </c>
      <c r="K27" s="3">
        <v>45.06</v>
      </c>
    </row>
    <row r="28" spans="1:11" s="7" customFormat="1" ht="15" x14ac:dyDescent="0.2">
      <c r="A28" s="7" t="s">
        <v>23</v>
      </c>
      <c r="B28" s="3">
        <v>14859.07</v>
      </c>
      <c r="C28" s="3">
        <v>16026.32</v>
      </c>
      <c r="D28" s="3">
        <v>17409.11</v>
      </c>
      <c r="E28" s="3">
        <v>19149.82</v>
      </c>
      <c r="F28" s="3">
        <v>20034.57</v>
      </c>
      <c r="G28" s="3">
        <v>17938.169999999998</v>
      </c>
      <c r="H28" s="3">
        <v>20740.47</v>
      </c>
      <c r="I28" s="3">
        <v>25915.119999999999</v>
      </c>
      <c r="J28" s="3">
        <v>26960.82</v>
      </c>
      <c r="K28" s="3">
        <v>41942.949999999997</v>
      </c>
    </row>
    <row r="29" spans="1:11" s="7" customFormat="1" ht="15" x14ac:dyDescent="0.2">
      <c r="A29" s="7" t="s">
        <v>24</v>
      </c>
      <c r="B29" s="3">
        <v>5358.21</v>
      </c>
      <c r="C29" s="3">
        <v>5549.09</v>
      </c>
      <c r="D29" s="3">
        <v>5916.43</v>
      </c>
      <c r="E29" s="3">
        <v>6313.92</v>
      </c>
      <c r="F29" s="3">
        <v>4441.79</v>
      </c>
      <c r="G29" s="3">
        <v>4555.29</v>
      </c>
      <c r="H29" s="3">
        <v>5237.34</v>
      </c>
      <c r="I29" s="3">
        <v>6438.4</v>
      </c>
      <c r="J29" s="3">
        <v>6209.46</v>
      </c>
      <c r="K29" s="3">
        <v>6890.47</v>
      </c>
    </row>
    <row r="30" spans="1:11" s="7" customFormat="1" ht="15" x14ac:dyDescent="0.2">
      <c r="A30" s="7" t="s">
        <v>25</v>
      </c>
      <c r="B30" s="3">
        <v>9344.4500000000007</v>
      </c>
      <c r="C30" s="3">
        <v>10289.44</v>
      </c>
      <c r="D30" s="3">
        <v>11271.2</v>
      </c>
      <c r="E30" s="3">
        <v>12592.33</v>
      </c>
      <c r="F30" s="3">
        <v>15306.23</v>
      </c>
      <c r="G30" s="3">
        <v>13161.19</v>
      </c>
      <c r="H30" s="3">
        <v>15242.66</v>
      </c>
      <c r="I30" s="3">
        <v>19191.66</v>
      </c>
      <c r="J30" s="3">
        <v>20458.78</v>
      </c>
      <c r="K30" s="3">
        <v>34746.629999999997</v>
      </c>
    </row>
    <row r="31" spans="1:11" s="7" customFormat="1" ht="15" x14ac:dyDescent="0.2">
      <c r="A31" s="7" t="s">
        <v>26</v>
      </c>
      <c r="B31" s="3">
        <v>6840.12</v>
      </c>
      <c r="C31" s="3">
        <v>5770.02</v>
      </c>
      <c r="D31" s="3">
        <v>6285.21</v>
      </c>
      <c r="E31" s="3">
        <v>7048.7</v>
      </c>
      <c r="F31" s="3">
        <v>12476.58</v>
      </c>
      <c r="G31" s="3">
        <v>13231.96</v>
      </c>
      <c r="H31" s="3">
        <v>14171.8</v>
      </c>
      <c r="I31" s="3">
        <v>19263.400000000001</v>
      </c>
      <c r="J31" s="3">
        <v>17166.46</v>
      </c>
      <c r="K31" s="3">
        <v>17957.73</v>
      </c>
    </row>
    <row r="32" spans="1:11" s="7" customFormat="1" ht="15" x14ac:dyDescent="0.2"/>
    <row r="33" spans="1:11" x14ac:dyDescent="0.2">
      <c r="A33" s="7"/>
    </row>
    <row r="34" spans="1:11" x14ac:dyDescent="0.2">
      <c r="A34" s="7"/>
    </row>
    <row r="35" spans="1:11" x14ac:dyDescent="0.2">
      <c r="A35" s="7"/>
    </row>
    <row r="36" spans="1:11" x14ac:dyDescent="0.2">
      <c r="A36" s="7"/>
    </row>
    <row r="37" spans="1:11" x14ac:dyDescent="0.2">
      <c r="A37" s="7"/>
    </row>
    <row r="38" spans="1:11" x14ac:dyDescent="0.2">
      <c r="A38" s="7"/>
    </row>
    <row r="39" spans="1:11" x14ac:dyDescent="0.2">
      <c r="A39" s="7"/>
    </row>
    <row r="40" spans="1:11" x14ac:dyDescent="0.2">
      <c r="A40" s="1" t="s">
        <v>27</v>
      </c>
    </row>
    <row r="41" spans="1:11" s="6" customFormat="1" ht="15" x14ac:dyDescent="0.2">
      <c r="A41" s="4" t="s">
        <v>11</v>
      </c>
      <c r="B41" s="5">
        <v>45107</v>
      </c>
      <c r="C41" s="5">
        <v>45199</v>
      </c>
      <c r="D41" s="5">
        <v>45291</v>
      </c>
      <c r="E41" s="5">
        <v>45382</v>
      </c>
      <c r="F41" s="5">
        <v>45473</v>
      </c>
      <c r="G41" s="5">
        <v>45565</v>
      </c>
      <c r="H41" s="5">
        <v>45657</v>
      </c>
      <c r="I41" s="5">
        <v>45747</v>
      </c>
      <c r="J41" s="5">
        <v>45838</v>
      </c>
      <c r="K41" s="5">
        <v>45930</v>
      </c>
    </row>
    <row r="42" spans="1:11" s="7" customFormat="1" ht="15" x14ac:dyDescent="0.2">
      <c r="A42" s="7" t="s">
        <v>12</v>
      </c>
      <c r="B42" s="3">
        <v>17164.46</v>
      </c>
      <c r="C42" s="3">
        <v>17774.47</v>
      </c>
      <c r="D42" s="3">
        <v>17195.240000000002</v>
      </c>
      <c r="E42" s="3">
        <v>17037.8</v>
      </c>
      <c r="F42" s="3">
        <v>17777.810000000001</v>
      </c>
      <c r="G42" s="3">
        <v>19990.36</v>
      </c>
      <c r="H42" s="3">
        <v>18790.169999999998</v>
      </c>
      <c r="I42" s="3">
        <v>18765</v>
      </c>
      <c r="J42" s="3">
        <v>21494.79</v>
      </c>
      <c r="K42" s="3">
        <v>19501.63</v>
      </c>
    </row>
    <row r="43" spans="1:11" s="7" customFormat="1" ht="15" x14ac:dyDescent="0.2">
      <c r="A43" s="7" t="s">
        <v>28</v>
      </c>
      <c r="B43" s="3">
        <v>10494.39</v>
      </c>
      <c r="C43" s="3">
        <v>11320.23</v>
      </c>
      <c r="D43" s="3">
        <v>10985.01</v>
      </c>
      <c r="E43" s="3">
        <v>10735.73</v>
      </c>
      <c r="F43" s="3">
        <v>11232.97</v>
      </c>
      <c r="G43" s="3">
        <v>13438.28</v>
      </c>
      <c r="H43" s="3">
        <v>12428.27</v>
      </c>
      <c r="I43" s="3">
        <v>12245.61</v>
      </c>
      <c r="J43" s="3">
        <v>14678.32</v>
      </c>
      <c r="K43" s="3">
        <v>12806.94</v>
      </c>
    </row>
    <row r="44" spans="1:11" s="7" customFormat="1" ht="15" x14ac:dyDescent="0.2">
      <c r="A44" s="7" t="s">
        <v>20</v>
      </c>
      <c r="B44" s="3">
        <v>722.3</v>
      </c>
      <c r="C44" s="3">
        <v>673.5</v>
      </c>
      <c r="D44" s="3">
        <v>820.26</v>
      </c>
      <c r="E44" s="3">
        <v>868</v>
      </c>
      <c r="F44" s="3">
        <v>771.13</v>
      </c>
      <c r="G44" s="3">
        <v>690.31</v>
      </c>
      <c r="H44" s="3">
        <v>803.4</v>
      </c>
      <c r="I44" s="3">
        <v>15391.28</v>
      </c>
      <c r="J44" s="3">
        <v>750.97</v>
      </c>
      <c r="K44" s="3">
        <v>738.84</v>
      </c>
    </row>
    <row r="45" spans="1:11" s="7" customFormat="1" ht="15" x14ac:dyDescent="0.2">
      <c r="A45" s="7" t="s">
        <v>21</v>
      </c>
      <c r="B45" s="3">
        <v>442.46</v>
      </c>
      <c r="C45" s="3">
        <v>453.04</v>
      </c>
      <c r="D45" s="3">
        <v>384.04</v>
      </c>
      <c r="E45" s="3">
        <v>385.09</v>
      </c>
      <c r="F45" s="3">
        <v>403.13</v>
      </c>
      <c r="G45" s="3">
        <v>416.18</v>
      </c>
      <c r="H45" s="3">
        <v>415.98</v>
      </c>
      <c r="I45" s="3">
        <v>411.03</v>
      </c>
      <c r="J45" s="3">
        <v>422.96</v>
      </c>
      <c r="K45" s="3">
        <v>434.8</v>
      </c>
    </row>
    <row r="46" spans="1:11" s="7" customFormat="1" ht="15" x14ac:dyDescent="0.2">
      <c r="A46" s="7" t="s">
        <v>22</v>
      </c>
      <c r="B46" s="3">
        <v>9.9</v>
      </c>
      <c r="C46" s="3">
        <v>9.8699999999999992</v>
      </c>
      <c r="D46" s="3">
        <v>11.94</v>
      </c>
      <c r="E46" s="3">
        <v>10.72</v>
      </c>
      <c r="F46" s="3">
        <v>9.6</v>
      </c>
      <c r="G46" s="3">
        <v>14.73</v>
      </c>
      <c r="H46" s="3">
        <v>9.82</v>
      </c>
      <c r="I46" s="3">
        <v>10.91</v>
      </c>
      <c r="J46" s="3">
        <v>16.47</v>
      </c>
      <c r="K46" s="3">
        <v>20.05</v>
      </c>
    </row>
    <row r="47" spans="1:11" s="7" customFormat="1" ht="15" x14ac:dyDescent="0.2">
      <c r="A47" s="7" t="s">
        <v>23</v>
      </c>
      <c r="B47" s="3">
        <v>6940.01</v>
      </c>
      <c r="C47" s="3">
        <v>6664.83</v>
      </c>
      <c r="D47" s="3">
        <v>6634.51</v>
      </c>
      <c r="E47" s="3">
        <v>6774.26</v>
      </c>
      <c r="F47" s="3">
        <v>6903.24</v>
      </c>
      <c r="G47" s="3">
        <v>6811.48</v>
      </c>
      <c r="H47" s="3">
        <v>6739.5</v>
      </c>
      <c r="I47" s="3">
        <v>21488.73</v>
      </c>
      <c r="J47" s="3">
        <v>7128.01</v>
      </c>
      <c r="K47" s="3">
        <v>6978.68</v>
      </c>
    </row>
    <row r="48" spans="1:11" s="7" customFormat="1" ht="15" x14ac:dyDescent="0.2">
      <c r="A48" s="7" t="s">
        <v>24</v>
      </c>
      <c r="B48" s="3">
        <v>1759.89</v>
      </c>
      <c r="C48" s="3">
        <v>1700.31</v>
      </c>
      <c r="D48" s="3">
        <v>1227.99</v>
      </c>
      <c r="E48" s="3">
        <v>1583.55</v>
      </c>
      <c r="F48" s="3">
        <v>1726.25</v>
      </c>
      <c r="G48" s="3">
        <v>1757.05</v>
      </c>
      <c r="H48" s="3">
        <v>1726.32</v>
      </c>
      <c r="I48" s="3">
        <v>1680.85</v>
      </c>
      <c r="J48" s="3">
        <v>1784.6</v>
      </c>
      <c r="K48" s="3">
        <v>1792.13</v>
      </c>
    </row>
    <row r="49" spans="1:11" s="7" customFormat="1" ht="15" x14ac:dyDescent="0.2">
      <c r="A49" s="7" t="s">
        <v>25</v>
      </c>
      <c r="B49" s="3">
        <v>5104.93</v>
      </c>
      <c r="C49" s="3">
        <v>4898.07</v>
      </c>
      <c r="D49" s="3">
        <v>5335.23</v>
      </c>
      <c r="E49" s="3">
        <v>5120.55</v>
      </c>
      <c r="F49" s="3">
        <v>5091.59</v>
      </c>
      <c r="G49" s="3">
        <v>4992.87</v>
      </c>
      <c r="H49" s="3">
        <v>4934.8</v>
      </c>
      <c r="I49" s="3">
        <v>19727.37</v>
      </c>
      <c r="J49" s="3">
        <v>5244.2</v>
      </c>
      <c r="K49" s="3">
        <v>5126.1099999999997</v>
      </c>
    </row>
    <row r="50" spans="1:11" x14ac:dyDescent="0.2">
      <c r="A50" s="7" t="s">
        <v>29</v>
      </c>
      <c r="B50" s="3">
        <v>6670.07</v>
      </c>
      <c r="C50" s="3">
        <v>6454.24</v>
      </c>
      <c r="D50" s="3">
        <v>6210.23</v>
      </c>
      <c r="E50" s="3">
        <v>6302.07</v>
      </c>
      <c r="F50" s="3">
        <v>6544.84</v>
      </c>
      <c r="G50" s="3">
        <v>6552.08</v>
      </c>
      <c r="H50" s="3">
        <v>6361.9</v>
      </c>
      <c r="I50" s="3">
        <v>6519.39</v>
      </c>
      <c r="J50" s="3">
        <v>6816.47</v>
      </c>
      <c r="K50" s="3">
        <v>6694.69</v>
      </c>
    </row>
    <row r="51" spans="1:11" x14ac:dyDescent="0.2">
      <c r="A51" s="7"/>
    </row>
    <row r="52" spans="1:11" x14ac:dyDescent="0.2">
      <c r="A52" s="7"/>
    </row>
    <row r="53" spans="1:11" x14ac:dyDescent="0.2">
      <c r="A53" s="7"/>
    </row>
    <row r="54" spans="1:11" x14ac:dyDescent="0.2">
      <c r="A54" s="7"/>
    </row>
    <row r="55" spans="1:11" x14ac:dyDescent="0.2">
      <c r="A55" s="1" t="s">
        <v>30</v>
      </c>
    </row>
    <row r="56" spans="1:11" s="6" customFormat="1" ht="15" x14ac:dyDescent="0.2">
      <c r="A56" s="4" t="s">
        <v>11</v>
      </c>
      <c r="B56" s="5">
        <v>42460</v>
      </c>
      <c r="C56" s="5">
        <v>42825</v>
      </c>
      <c r="D56" s="5">
        <v>43190</v>
      </c>
      <c r="E56" s="5">
        <v>43555</v>
      </c>
      <c r="F56" s="5">
        <v>43921</v>
      </c>
      <c r="G56" s="5">
        <v>44286</v>
      </c>
      <c r="H56" s="5">
        <v>44651</v>
      </c>
      <c r="I56" s="5">
        <v>45016</v>
      </c>
      <c r="J56" s="5">
        <v>45382</v>
      </c>
      <c r="K56" s="5">
        <v>45747</v>
      </c>
    </row>
    <row r="57" spans="1:11" x14ac:dyDescent="0.2">
      <c r="A57" s="7" t="s">
        <v>31</v>
      </c>
      <c r="B57" s="3">
        <v>804.72</v>
      </c>
      <c r="C57" s="3">
        <v>1214.74</v>
      </c>
      <c r="D57" s="3">
        <v>1220.43</v>
      </c>
      <c r="E57" s="3">
        <v>1225.8599999999999</v>
      </c>
      <c r="F57" s="3">
        <v>1229.22</v>
      </c>
      <c r="G57" s="3">
        <v>1230.8800000000001</v>
      </c>
      <c r="H57" s="3">
        <v>1232.33</v>
      </c>
      <c r="I57" s="3">
        <v>1242.8</v>
      </c>
      <c r="J57" s="3">
        <v>1248.47</v>
      </c>
      <c r="K57" s="3">
        <v>1251.4100000000001</v>
      </c>
    </row>
    <row r="58" spans="1:11" x14ac:dyDescent="0.2">
      <c r="A58" s="7" t="s">
        <v>32</v>
      </c>
      <c r="B58" s="3">
        <v>41874.800000000003</v>
      </c>
      <c r="C58" s="3">
        <v>45198.19</v>
      </c>
      <c r="D58" s="3">
        <v>51289.68</v>
      </c>
      <c r="E58" s="3">
        <v>57915.01</v>
      </c>
      <c r="F58" s="3">
        <v>64044.04</v>
      </c>
      <c r="G58" s="3">
        <v>59116.46</v>
      </c>
      <c r="H58" s="3">
        <v>61223.24</v>
      </c>
      <c r="I58" s="3">
        <v>67912.460000000006</v>
      </c>
      <c r="J58" s="3">
        <v>73258.53</v>
      </c>
      <c r="K58" s="3">
        <v>68778.64</v>
      </c>
    </row>
    <row r="59" spans="1:11" x14ac:dyDescent="0.2">
      <c r="A59" s="7" t="s">
        <v>33</v>
      </c>
      <c r="B59" s="3">
        <v>83.78</v>
      </c>
      <c r="C59" s="3">
        <v>45.72</v>
      </c>
      <c r="D59" s="3">
        <v>35.92</v>
      </c>
      <c r="E59" s="3">
        <v>13.44</v>
      </c>
      <c r="F59" s="3">
        <v>277.45</v>
      </c>
      <c r="G59" s="3">
        <v>270.83</v>
      </c>
      <c r="H59" s="3">
        <v>249.44</v>
      </c>
      <c r="I59" s="3">
        <v>306.04000000000002</v>
      </c>
      <c r="J59" s="3">
        <v>303.43</v>
      </c>
      <c r="K59" s="3">
        <v>284.54000000000002</v>
      </c>
    </row>
    <row r="60" spans="1:11" x14ac:dyDescent="0.2">
      <c r="A60" s="7" t="s">
        <v>34</v>
      </c>
      <c r="B60" s="3">
        <v>8888.0400000000009</v>
      </c>
      <c r="C60" s="3">
        <v>9439.67</v>
      </c>
      <c r="D60" s="3">
        <v>11694.85</v>
      </c>
      <c r="E60" s="3">
        <v>12584.73</v>
      </c>
      <c r="F60" s="3">
        <v>11760.04</v>
      </c>
      <c r="G60" s="3">
        <v>13142.59</v>
      </c>
      <c r="H60" s="3">
        <v>14491.01</v>
      </c>
      <c r="I60" s="3">
        <v>16369.66</v>
      </c>
      <c r="J60" s="3">
        <v>16943.54</v>
      </c>
      <c r="K60" s="3">
        <v>17688.11</v>
      </c>
    </row>
    <row r="61" spans="1:11" s="1" customFormat="1" ht="15" x14ac:dyDescent="0.2">
      <c r="A61" s="1" t="s">
        <v>35</v>
      </c>
      <c r="B61" s="3">
        <v>51651.34</v>
      </c>
      <c r="C61" s="3">
        <v>55898.32</v>
      </c>
      <c r="D61" s="3">
        <v>64240.88</v>
      </c>
      <c r="E61" s="3">
        <v>71739.039999999994</v>
      </c>
      <c r="F61" s="3">
        <v>77310.75</v>
      </c>
      <c r="G61" s="3">
        <v>73760.759999999995</v>
      </c>
      <c r="H61" s="3">
        <v>77196.02</v>
      </c>
      <c r="I61" s="3">
        <v>85830.96</v>
      </c>
      <c r="J61" s="3">
        <v>91753.97</v>
      </c>
      <c r="K61" s="3">
        <v>88002.7</v>
      </c>
    </row>
    <row r="62" spans="1:11" x14ac:dyDescent="0.2">
      <c r="A62" s="7" t="s">
        <v>36</v>
      </c>
      <c r="B62" s="3">
        <v>15106.63</v>
      </c>
      <c r="C62" s="3">
        <v>15893.48</v>
      </c>
      <c r="D62" s="3">
        <v>16523.96</v>
      </c>
      <c r="E62" s="3">
        <v>19374.189999999999</v>
      </c>
      <c r="F62" s="3">
        <v>21713.34</v>
      </c>
      <c r="G62" s="3">
        <v>23298.48</v>
      </c>
      <c r="H62" s="3">
        <v>24231.59</v>
      </c>
      <c r="I62" s="3">
        <v>25851.27</v>
      </c>
      <c r="J62" s="3">
        <v>27820.22</v>
      </c>
      <c r="K62" s="3">
        <v>21954.85</v>
      </c>
    </row>
    <row r="63" spans="1:11" x14ac:dyDescent="0.2">
      <c r="A63" s="7" t="s">
        <v>37</v>
      </c>
      <c r="B63" s="3">
        <v>2559.7199999999998</v>
      </c>
      <c r="C63" s="3">
        <v>3729.89</v>
      </c>
      <c r="D63" s="3">
        <v>5508.33</v>
      </c>
      <c r="E63" s="3">
        <v>4136.42</v>
      </c>
      <c r="F63" s="3">
        <v>3256.46</v>
      </c>
      <c r="G63" s="3">
        <v>4011.29</v>
      </c>
      <c r="H63" s="3">
        <v>3225.54</v>
      </c>
      <c r="I63" s="3">
        <v>3003.3</v>
      </c>
      <c r="J63" s="3">
        <v>2860.78</v>
      </c>
      <c r="K63" s="3">
        <v>1090.9100000000001</v>
      </c>
    </row>
    <row r="64" spans="1:11" x14ac:dyDescent="0.2">
      <c r="A64" s="7" t="s">
        <v>38</v>
      </c>
      <c r="B64" s="3">
        <v>11747.59</v>
      </c>
      <c r="C64" s="3">
        <v>17581.38</v>
      </c>
      <c r="D64" s="3">
        <v>22052.86</v>
      </c>
      <c r="E64" s="3">
        <v>25043.49</v>
      </c>
      <c r="F64" s="3">
        <v>28663.35</v>
      </c>
      <c r="G64" s="3">
        <v>24870.87</v>
      </c>
      <c r="H64" s="3">
        <v>24841.01</v>
      </c>
      <c r="I64" s="3">
        <v>29415.02</v>
      </c>
      <c r="J64" s="3">
        <v>31114.02</v>
      </c>
      <c r="K64" s="3">
        <v>34719.82</v>
      </c>
    </row>
    <row r="65" spans="1:11" x14ac:dyDescent="0.2">
      <c r="A65" s="7" t="s">
        <v>39</v>
      </c>
      <c r="B65" s="3">
        <v>22237.4</v>
      </c>
      <c r="C65" s="3">
        <v>18693.57</v>
      </c>
      <c r="D65" s="3">
        <v>20155.73</v>
      </c>
      <c r="E65" s="3">
        <v>23184.94</v>
      </c>
      <c r="F65" s="3">
        <v>23677.599999999999</v>
      </c>
      <c r="G65" s="3">
        <v>21580.12</v>
      </c>
      <c r="H65" s="3">
        <v>24897.88</v>
      </c>
      <c r="I65" s="3">
        <v>27561.37</v>
      </c>
      <c r="J65" s="3">
        <v>29958.95</v>
      </c>
      <c r="K65" s="3">
        <v>30237.119999999999</v>
      </c>
    </row>
    <row r="66" spans="1:11" s="1" customFormat="1" ht="15" x14ac:dyDescent="0.2">
      <c r="A66" s="1" t="s">
        <v>35</v>
      </c>
      <c r="B66" s="3">
        <v>51651.34</v>
      </c>
      <c r="C66" s="3">
        <v>55898.32</v>
      </c>
      <c r="D66" s="3">
        <v>64240.88</v>
      </c>
      <c r="E66" s="3">
        <v>71739.039999999994</v>
      </c>
      <c r="F66" s="3">
        <v>77310.75</v>
      </c>
      <c r="G66" s="3">
        <v>73760.759999999995</v>
      </c>
      <c r="H66" s="3">
        <v>77196.02</v>
      </c>
      <c r="I66" s="3">
        <v>85830.96</v>
      </c>
      <c r="J66" s="3">
        <v>91753.97</v>
      </c>
      <c r="K66" s="3">
        <v>88002.7</v>
      </c>
    </row>
    <row r="67" spans="1:11" s="7" customFormat="1" ht="15" x14ac:dyDescent="0.2">
      <c r="A67" s="7" t="s">
        <v>40</v>
      </c>
      <c r="B67" s="3">
        <v>1917.18</v>
      </c>
      <c r="C67" s="3">
        <v>2474.29</v>
      </c>
      <c r="D67" s="3">
        <v>2682.29</v>
      </c>
      <c r="E67" s="3">
        <v>4035.28</v>
      </c>
      <c r="F67" s="3">
        <v>2562.48</v>
      </c>
      <c r="G67" s="3">
        <v>2501.6999999999998</v>
      </c>
      <c r="H67" s="3">
        <v>2461.9</v>
      </c>
      <c r="I67" s="3">
        <v>2956.17</v>
      </c>
      <c r="J67" s="3">
        <v>4025.82</v>
      </c>
      <c r="K67" s="3">
        <v>4719.67</v>
      </c>
    </row>
    <row r="68" spans="1:11" x14ac:dyDescent="0.2">
      <c r="A68" s="7" t="s">
        <v>41</v>
      </c>
      <c r="B68" s="3">
        <v>9062.1</v>
      </c>
      <c r="C68" s="3">
        <v>8116.1</v>
      </c>
      <c r="D68" s="3">
        <v>7495.09</v>
      </c>
      <c r="E68" s="3">
        <v>7859.56</v>
      </c>
      <c r="F68" s="3">
        <v>8879.33</v>
      </c>
      <c r="G68" s="3">
        <v>10397.16</v>
      </c>
      <c r="H68" s="3">
        <v>10864.15</v>
      </c>
      <c r="I68" s="3">
        <v>11771.16</v>
      </c>
      <c r="J68" s="3">
        <v>14152.88</v>
      </c>
      <c r="K68" s="3">
        <v>15637.56</v>
      </c>
    </row>
    <row r="69" spans="1:11" x14ac:dyDescent="0.2">
      <c r="A69" s="2" t="s">
        <v>42</v>
      </c>
      <c r="B69" s="3">
        <v>6063.3</v>
      </c>
      <c r="C69" s="3">
        <v>2967.4</v>
      </c>
      <c r="D69" s="3">
        <v>2899.6</v>
      </c>
      <c r="E69" s="3">
        <v>4152.03</v>
      </c>
      <c r="F69" s="3">
        <v>7277.34</v>
      </c>
      <c r="G69" s="3">
        <v>4659.0200000000004</v>
      </c>
      <c r="H69" s="3">
        <v>4654.42</v>
      </c>
      <c r="I69" s="3">
        <v>4880.1899999999996</v>
      </c>
      <c r="J69" s="3">
        <v>7217.68</v>
      </c>
      <c r="K69" s="3">
        <v>4012.36</v>
      </c>
    </row>
    <row r="70" spans="1:11" x14ac:dyDescent="0.2">
      <c r="A70" s="2" t="s">
        <v>43</v>
      </c>
      <c r="B70" s="3">
        <v>8047206991</v>
      </c>
      <c r="C70" s="3">
        <v>12147383071</v>
      </c>
      <c r="D70" s="3">
        <v>12204294911</v>
      </c>
      <c r="E70" s="3">
        <v>12258631601</v>
      </c>
      <c r="F70" s="3">
        <v>12292231241</v>
      </c>
      <c r="G70" s="3">
        <v>12308844231</v>
      </c>
      <c r="H70" s="3">
        <v>12323255931</v>
      </c>
      <c r="I70" s="3">
        <v>12428017741</v>
      </c>
      <c r="J70" s="3">
        <v>12484700000</v>
      </c>
      <c r="K70" s="3">
        <v>12514119781</v>
      </c>
    </row>
    <row r="71" spans="1:11" x14ac:dyDescent="0.2">
      <c r="A71" s="2" t="s">
        <v>44</v>
      </c>
      <c r="B71" s="3"/>
      <c r="C71" s="3">
        <v>4026657100</v>
      </c>
      <c r="E71" s="3"/>
    </row>
    <row r="72" spans="1:11" x14ac:dyDescent="0.2">
      <c r="A72" s="2" t="s">
        <v>45</v>
      </c>
      <c r="B72" s="3">
        <v>1</v>
      </c>
      <c r="C72" s="3">
        <v>1</v>
      </c>
      <c r="D72" s="3">
        <v>1</v>
      </c>
      <c r="E72" s="3">
        <v>1</v>
      </c>
      <c r="F72" s="3">
        <v>1</v>
      </c>
      <c r="G72" s="3">
        <v>1</v>
      </c>
      <c r="H72" s="3">
        <v>1</v>
      </c>
      <c r="I72" s="3">
        <v>1</v>
      </c>
      <c r="J72" s="3">
        <v>1</v>
      </c>
      <c r="K72" s="3">
        <v>1</v>
      </c>
    </row>
    <row r="74" spans="1:11" x14ac:dyDescent="0.2">
      <c r="A74" s="7"/>
    </row>
    <row r="75" spans="1:11" x14ac:dyDescent="0.2">
      <c r="A75" s="7"/>
      <c r="C75" s="2">
        <f>C66-B66</f>
        <v>4246.9800000000032</v>
      </c>
      <c r="D75" s="2">
        <f t="shared" ref="D75:K75" si="0">D66-C66</f>
        <v>8342.5599999999977</v>
      </c>
      <c r="E75" s="2">
        <f t="shared" si="0"/>
        <v>7498.1599999999962</v>
      </c>
      <c r="F75" s="2">
        <f t="shared" si="0"/>
        <v>5571.7100000000064</v>
      </c>
      <c r="G75" s="2">
        <f t="shared" si="0"/>
        <v>-3549.9900000000052</v>
      </c>
      <c r="H75" s="2">
        <f t="shared" si="0"/>
        <v>3435.2600000000093</v>
      </c>
      <c r="I75" s="2">
        <f t="shared" si="0"/>
        <v>8634.9400000000023</v>
      </c>
      <c r="J75" s="2">
        <f t="shared" si="0"/>
        <v>5923.0099999999948</v>
      </c>
      <c r="K75" s="2">
        <f t="shared" si="0"/>
        <v>-3751.2700000000041</v>
      </c>
    </row>
    <row r="76" spans="1:11" x14ac:dyDescent="0.2">
      <c r="A76" s="7"/>
    </row>
    <row r="77" spans="1:11" x14ac:dyDescent="0.2">
      <c r="A77" s="7"/>
      <c r="C77" s="2">
        <f>C75/C17</f>
        <v>9.9303678485582622E-2</v>
      </c>
    </row>
    <row r="78" spans="1:11" x14ac:dyDescent="0.2">
      <c r="A78" s="7"/>
    </row>
    <row r="79" spans="1:11" x14ac:dyDescent="0.2">
      <c r="A79" s="7"/>
    </row>
    <row r="80" spans="1:11" x14ac:dyDescent="0.2">
      <c r="A80" s="1" t="s">
        <v>46</v>
      </c>
    </row>
    <row r="81" spans="1:11" s="6" customFormat="1" ht="15" x14ac:dyDescent="0.2">
      <c r="A81" s="4" t="s">
        <v>11</v>
      </c>
      <c r="B81" s="5">
        <v>42460</v>
      </c>
      <c r="C81" s="5">
        <v>42825</v>
      </c>
      <c r="D81" s="5">
        <v>43190</v>
      </c>
      <c r="E81" s="5">
        <v>43555</v>
      </c>
      <c r="F81" s="5">
        <v>43921</v>
      </c>
      <c r="G81" s="5">
        <v>44286</v>
      </c>
      <c r="H81" s="5">
        <v>44651</v>
      </c>
      <c r="I81" s="5">
        <v>45016</v>
      </c>
      <c r="J81" s="5">
        <v>45382</v>
      </c>
      <c r="K81" s="5">
        <v>45747</v>
      </c>
    </row>
    <row r="82" spans="1:11" s="1" customFormat="1" ht="15" x14ac:dyDescent="0.2">
      <c r="A82" s="7" t="s">
        <v>47</v>
      </c>
      <c r="B82" s="3">
        <v>9799.0400000000009</v>
      </c>
      <c r="C82" s="3">
        <v>10627.31</v>
      </c>
      <c r="D82" s="3">
        <v>13169.4</v>
      </c>
      <c r="E82" s="3">
        <v>12583.41</v>
      </c>
      <c r="F82" s="3">
        <v>14689.66</v>
      </c>
      <c r="G82" s="3">
        <v>12526.97</v>
      </c>
      <c r="H82" s="3">
        <v>15775.51</v>
      </c>
      <c r="I82" s="3">
        <v>18877.55</v>
      </c>
      <c r="J82" s="3">
        <v>17178.86</v>
      </c>
      <c r="K82" s="3">
        <v>17627.04</v>
      </c>
    </row>
    <row r="83" spans="1:11" s="7" customFormat="1" ht="15" x14ac:dyDescent="0.2">
      <c r="A83" s="7" t="s">
        <v>48</v>
      </c>
      <c r="B83" s="3">
        <v>-3920.73</v>
      </c>
      <c r="C83" s="3">
        <v>-3250.93</v>
      </c>
      <c r="D83" s="3">
        <v>-7113.89</v>
      </c>
      <c r="E83" s="3">
        <v>-5545.68</v>
      </c>
      <c r="F83" s="3">
        <v>-6174.02</v>
      </c>
      <c r="G83" s="3">
        <v>5739.98</v>
      </c>
      <c r="H83" s="3">
        <v>-2238.4899999999998</v>
      </c>
      <c r="I83" s="3">
        <v>-5732.29</v>
      </c>
      <c r="J83" s="3">
        <v>1562.77</v>
      </c>
      <c r="K83" s="3">
        <v>-563.84</v>
      </c>
    </row>
    <row r="84" spans="1:11" s="7" customFormat="1" ht="15" x14ac:dyDescent="0.2">
      <c r="A84" s="7" t="s">
        <v>49</v>
      </c>
      <c r="B84" s="3">
        <v>-5612.52</v>
      </c>
      <c r="C84" s="3">
        <v>-7301.03</v>
      </c>
      <c r="D84" s="3">
        <v>-6221.13</v>
      </c>
      <c r="E84" s="3">
        <v>-6868.64</v>
      </c>
      <c r="F84" s="3">
        <v>-8181.48</v>
      </c>
      <c r="G84" s="3">
        <v>-18633.830000000002</v>
      </c>
      <c r="H84" s="3">
        <v>-13580.5</v>
      </c>
      <c r="I84" s="3">
        <v>-13006.03</v>
      </c>
      <c r="J84" s="3">
        <v>-18550.96</v>
      </c>
      <c r="K84" s="3">
        <v>-17037.400000000001</v>
      </c>
    </row>
    <row r="85" spans="1:11" s="1" customFormat="1" ht="15" x14ac:dyDescent="0.2">
      <c r="A85" s="7" t="s">
        <v>50</v>
      </c>
      <c r="B85" s="3">
        <v>265.79000000000002</v>
      </c>
      <c r="C85" s="3">
        <v>75.349999999999994</v>
      </c>
      <c r="D85" s="3">
        <v>-165.62</v>
      </c>
      <c r="E85" s="3">
        <v>169.09</v>
      </c>
      <c r="F85" s="3">
        <v>334.16</v>
      </c>
      <c r="G85" s="3">
        <v>-366.88</v>
      </c>
      <c r="H85" s="3">
        <v>-43.48</v>
      </c>
      <c r="I85" s="3">
        <v>139.22999999999999</v>
      </c>
      <c r="J85" s="3">
        <v>190.67</v>
      </c>
      <c r="K85" s="3">
        <v>25.8</v>
      </c>
    </row>
    <row r="86" spans="1:11" x14ac:dyDescent="0.2">
      <c r="A86" s="7"/>
    </row>
    <row r="87" spans="1:11" x14ac:dyDescent="0.2">
      <c r="A87" s="7"/>
    </row>
    <row r="88" spans="1:11" x14ac:dyDescent="0.2">
      <c r="A88" s="7"/>
    </row>
    <row r="89" spans="1:11" x14ac:dyDescent="0.2">
      <c r="A89" s="7"/>
    </row>
    <row r="90" spans="1:11" s="1" customFormat="1" ht="15" x14ac:dyDescent="0.2">
      <c r="A90" s="1" t="s">
        <v>51</v>
      </c>
      <c r="B90" s="3">
        <v>205.13</v>
      </c>
      <c r="C90" s="3">
        <v>262.75</v>
      </c>
      <c r="D90" s="3">
        <v>239.5</v>
      </c>
      <c r="E90" s="3">
        <v>278.64</v>
      </c>
      <c r="F90" s="3">
        <v>160.94999999999999</v>
      </c>
      <c r="G90" s="3">
        <v>204.82</v>
      </c>
      <c r="H90" s="3">
        <v>234.96</v>
      </c>
      <c r="I90" s="3">
        <v>359.49</v>
      </c>
      <c r="J90" s="3">
        <v>401.53</v>
      </c>
      <c r="K90" s="3">
        <v>409.75</v>
      </c>
    </row>
    <row r="92" spans="1:11" s="1" customFormat="1" ht="15" x14ac:dyDescent="0.2">
      <c r="A92" s="1" t="s">
        <v>52</v>
      </c>
    </row>
    <row r="93" spans="1:11" x14ac:dyDescent="0.2">
      <c r="A93" s="2" t="s">
        <v>53</v>
      </c>
      <c r="B93" s="8">
        <v>1207.08</v>
      </c>
      <c r="C93" s="8">
        <v>1214.74</v>
      </c>
      <c r="D93" s="8">
        <v>1220.43</v>
      </c>
      <c r="E93" s="8">
        <v>1225.8599999999999</v>
      </c>
      <c r="F93" s="8">
        <v>1229.22</v>
      </c>
      <c r="G93" s="8">
        <v>1230.8800000000001</v>
      </c>
      <c r="H93" s="8">
        <v>1232.33</v>
      </c>
      <c r="I93" s="8">
        <v>1242.8</v>
      </c>
      <c r="J93" s="8">
        <v>1248.47</v>
      </c>
      <c r="K93" s="8">
        <v>1251.4100000000001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FD2B4A24-9CA8-2C42-9C32-48CD6FD3B906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Data Sheet</vt:lpstr>
      <vt:lpstr>UPDATE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Office636</dc:creator>
  <cp:lastModifiedBy>Office636</cp:lastModifiedBy>
  <dcterms:created xsi:type="dcterms:W3CDTF">2026-01-04T08:26:58Z</dcterms:created>
  <dcterms:modified xsi:type="dcterms:W3CDTF">2026-01-05T13:39:59Z</dcterms:modified>
</cp:coreProperties>
</file>